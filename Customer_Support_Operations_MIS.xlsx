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Data" sheetId="1" r:id="rId4"/>
    <sheet state="visible" name="MIS Summary" sheetId="2" r:id="rId5"/>
  </sheets>
  <definedNames/>
  <calcPr/>
</workbook>
</file>

<file path=xl/sharedStrings.xml><?xml version="1.0" encoding="utf-8"?>
<sst xmlns="http://schemas.openxmlformats.org/spreadsheetml/2006/main" count="189" uniqueCount="70">
  <si>
    <t>Case ID</t>
  </si>
  <si>
    <t>Date</t>
  </si>
  <si>
    <t>Category</t>
  </si>
  <si>
    <t>Channel</t>
  </si>
  <si>
    <t>Priority</t>
  </si>
  <si>
    <t>Status</t>
  </si>
  <si>
    <t>Resolution Hours</t>
  </si>
  <si>
    <t>SLA Hours</t>
  </si>
  <si>
    <t>SLA Met</t>
  </si>
  <si>
    <t>Agent</t>
  </si>
  <si>
    <t>CS001</t>
  </si>
  <si>
    <t>2026-07-01</t>
  </si>
  <si>
    <t>Payment Query</t>
  </si>
  <si>
    <t>Chat</t>
  </si>
  <si>
    <t>High</t>
  </si>
  <si>
    <t>Resolved</t>
  </si>
  <si>
    <t>Yes</t>
  </si>
  <si>
    <t>Agent A</t>
  </si>
  <si>
    <t>CS002</t>
  </si>
  <si>
    <t>Account Update</t>
  </si>
  <si>
    <t>Email</t>
  </si>
  <si>
    <t>Medium</t>
  </si>
  <si>
    <t>Agent B</t>
  </si>
  <si>
    <t>CS003</t>
  </si>
  <si>
    <t>2026-07-02</t>
  </si>
  <si>
    <t>Transaction Issue</t>
  </si>
  <si>
    <t>Pending</t>
  </si>
  <si>
    <t>No</t>
  </si>
  <si>
    <t>CS004</t>
  </si>
  <si>
    <t>Low</t>
  </si>
  <si>
    <t>Agent C</t>
  </si>
  <si>
    <t>CS005</t>
  </si>
  <si>
    <t>2026-07-03</t>
  </si>
  <si>
    <t>Refund Request</t>
  </si>
  <si>
    <t>CS006</t>
  </si>
  <si>
    <t>CS007</t>
  </si>
  <si>
    <t>2026-07-04</t>
  </si>
  <si>
    <t>CS008</t>
  </si>
  <si>
    <t>CS009</t>
  </si>
  <si>
    <t>2026-07-05</t>
  </si>
  <si>
    <t>CS010</t>
  </si>
  <si>
    <t>Escalated</t>
  </si>
  <si>
    <t>CS011</t>
  </si>
  <si>
    <t>2026-07-06</t>
  </si>
  <si>
    <t>CS012</t>
  </si>
  <si>
    <t>CS013</t>
  </si>
  <si>
    <t>2026-07-07</t>
  </si>
  <si>
    <t>CS014</t>
  </si>
  <si>
    <t>CS015</t>
  </si>
  <si>
    <t>2026-07-08</t>
  </si>
  <si>
    <t>CS016</t>
  </si>
  <si>
    <t>CS017</t>
  </si>
  <si>
    <t>2026-07-09</t>
  </si>
  <si>
    <t>CS018</t>
  </si>
  <si>
    <t>CS019</t>
  </si>
  <si>
    <t>2026-07-10</t>
  </si>
  <si>
    <t>CS020</t>
  </si>
  <si>
    <t>Customer Support Operations MIS – Demo Dashboard</t>
  </si>
  <si>
    <t>Note</t>
  </si>
  <si>
    <t>Sample/Demo data created for portfolio demonstration.</t>
  </si>
  <si>
    <t>Metric</t>
  </si>
  <si>
    <t>Value</t>
  </si>
  <si>
    <t>Total Cases</t>
  </si>
  <si>
    <t>Resolved Cases</t>
  </si>
  <si>
    <t>Pending Cases</t>
  </si>
  <si>
    <t>Escalated Cases</t>
  </si>
  <si>
    <t>SLA Missed</t>
  </si>
  <si>
    <t>SLA Compliance %</t>
  </si>
  <si>
    <t>Average Resolution Hours</t>
  </si>
  <si>
    <t>Case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</si>
</sst>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/>
      <name val="Arial"/>
      <scheme val="minor"/>
    </font>
    <font>
      <b/>
      <color rgb="FFFFFFFF"/>
    </font>
    <font/>
    <font>
      <b/>
      <sz val="16.0"/>
    </font>
    <font>
      <sz val="11.0"/>
      <color/>
      <name val="Calibri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164" xfId="0" applyAlignment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none"/>
      </fill>
      <border/>
    </dxf>
  </dxfs>
  <tableStyles count="1">
    <tableStyle count="3" pivot="0" name="Case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Cases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'MIS Summary'!$B$14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'MIS Summary'!$A$15:$A$18</c:f>
            </c:strRef>
          </c:cat>
          <c:val>
            <c:numRef>
              <c:f>'MIS Summary'!$B$15:$B$18</c:f>
              <c:numCache/>
            </c:numRef>
          </c:val>
        </c:ser>
        <c:axId val="396883017"/>
        <c:axId val="1216282365"/>
      </c:barChart>
      <c:catAx>
        <c:axId val="396883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282365"/>
      </c:catAx>
      <c:valAx>
        <c:axId val="1216282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883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467677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J21" displayName="Table_1" name="Table_1" id="1">
  <tableColumns count="10">
    <tableColumn name="Case ID" id="1"/>
    <tableColumn name="Date" id="2"/>
    <tableColumn name="Category" id="3"/>
    <tableColumn name="Channel" id="4"/>
    <tableColumn name="Priority" id="5"/>
    <tableColumn name="Status" id="6"/>
    <tableColumn name="Resolution Hours" id="7"/>
    <tableColumn name="SLA Hours" id="8"/>
    <tableColumn name="SLA Met" id="9"/>
    <tableColumn name="Agent" id="10"/>
  </tableColumns>
  <tableStyleInfo name="Cas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0.0"/>
    <col customWidth="1" min="4" max="5" width="12.0"/>
    <col customWidth="1" min="6" max="6" width="14.0"/>
    <col customWidth="1" min="7" max="7" width="18.0"/>
    <col customWidth="1" min="8" max="10" width="12.0"/>
    <col customWidth="1" min="1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2.0</v>
      </c>
      <c r="H2" s="2">
        <v>4.0</v>
      </c>
      <c r="I2" s="2" t="s">
        <v>16</v>
      </c>
      <c r="J2" s="2" t="s">
        <v>17</v>
      </c>
    </row>
    <row r="3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15</v>
      </c>
      <c r="G3" s="2">
        <v>6.0</v>
      </c>
      <c r="H3" s="2">
        <v>8.0</v>
      </c>
      <c r="I3" s="2" t="s">
        <v>16</v>
      </c>
      <c r="J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26</v>
      </c>
      <c r="G4" s="2">
        <v>10.0</v>
      </c>
      <c r="H4" s="2">
        <v>8.0</v>
      </c>
      <c r="I4" s="2" t="s">
        <v>27</v>
      </c>
      <c r="J4" s="2" t="s">
        <v>17</v>
      </c>
    </row>
    <row r="5">
      <c r="A5" s="2" t="s">
        <v>28</v>
      </c>
      <c r="B5" s="2" t="s">
        <v>24</v>
      </c>
      <c r="C5" s="2" t="s">
        <v>12</v>
      </c>
      <c r="D5" s="2" t="s">
        <v>20</v>
      </c>
      <c r="E5" s="2" t="s">
        <v>29</v>
      </c>
      <c r="F5" s="2" t="s">
        <v>15</v>
      </c>
      <c r="G5" s="2">
        <v>3.0</v>
      </c>
      <c r="H5" s="2">
        <v>8.0</v>
      </c>
      <c r="I5" s="2" t="s">
        <v>16</v>
      </c>
      <c r="J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13</v>
      </c>
      <c r="E6" s="2" t="s">
        <v>14</v>
      </c>
      <c r="F6" s="2" t="s">
        <v>15</v>
      </c>
      <c r="G6" s="2">
        <v>5.0</v>
      </c>
      <c r="H6" s="2">
        <v>6.0</v>
      </c>
      <c r="I6" s="2" t="s">
        <v>16</v>
      </c>
      <c r="J6" s="2" t="s">
        <v>22</v>
      </c>
    </row>
    <row r="7">
      <c r="A7" s="2" t="s">
        <v>34</v>
      </c>
      <c r="B7" s="2" t="s">
        <v>32</v>
      </c>
      <c r="C7" s="2" t="s">
        <v>19</v>
      </c>
      <c r="D7" s="2" t="s">
        <v>20</v>
      </c>
      <c r="E7" s="2" t="s">
        <v>21</v>
      </c>
      <c r="F7" s="2" t="s">
        <v>26</v>
      </c>
      <c r="G7" s="2">
        <v>12.0</v>
      </c>
      <c r="H7" s="2">
        <v>8.0</v>
      </c>
      <c r="I7" s="2" t="s">
        <v>27</v>
      </c>
      <c r="J7" s="2" t="s">
        <v>30</v>
      </c>
    </row>
    <row r="8">
      <c r="A8" s="2" t="s">
        <v>35</v>
      </c>
      <c r="B8" s="2" t="s">
        <v>36</v>
      </c>
      <c r="C8" s="2" t="s">
        <v>25</v>
      </c>
      <c r="D8" s="2" t="s">
        <v>13</v>
      </c>
      <c r="E8" s="2" t="s">
        <v>14</v>
      </c>
      <c r="F8" s="2" t="s">
        <v>15</v>
      </c>
      <c r="G8" s="2">
        <v>4.0</v>
      </c>
      <c r="H8" s="2">
        <v>6.0</v>
      </c>
      <c r="I8" s="2" t="s">
        <v>16</v>
      </c>
      <c r="J8" s="2" t="s">
        <v>17</v>
      </c>
    </row>
    <row r="9">
      <c r="A9" s="2" t="s">
        <v>37</v>
      </c>
      <c r="B9" s="2" t="s">
        <v>36</v>
      </c>
      <c r="C9" s="2" t="s">
        <v>12</v>
      </c>
      <c r="D9" s="2" t="s">
        <v>20</v>
      </c>
      <c r="E9" s="2" t="s">
        <v>29</v>
      </c>
      <c r="F9" s="2" t="s">
        <v>15</v>
      </c>
      <c r="G9" s="2">
        <v>2.0</v>
      </c>
      <c r="H9" s="2">
        <v>8.0</v>
      </c>
      <c r="I9" s="2" t="s">
        <v>16</v>
      </c>
      <c r="J9" s="2" t="s">
        <v>22</v>
      </c>
    </row>
    <row r="10">
      <c r="A10" s="2" t="s">
        <v>38</v>
      </c>
      <c r="B10" s="2" t="s">
        <v>39</v>
      </c>
      <c r="C10" s="2" t="s">
        <v>33</v>
      </c>
      <c r="D10" s="2" t="s">
        <v>13</v>
      </c>
      <c r="E10" s="2" t="s">
        <v>21</v>
      </c>
      <c r="F10" s="2" t="s">
        <v>15</v>
      </c>
      <c r="G10" s="2">
        <v>5.0</v>
      </c>
      <c r="H10" s="2">
        <v>8.0</v>
      </c>
      <c r="I10" s="2" t="s">
        <v>16</v>
      </c>
      <c r="J10" s="2" t="s">
        <v>30</v>
      </c>
    </row>
    <row r="11">
      <c r="A11" s="2" t="s">
        <v>40</v>
      </c>
      <c r="B11" s="2" t="s">
        <v>39</v>
      </c>
      <c r="C11" s="2" t="s">
        <v>25</v>
      </c>
      <c r="D11" s="2" t="s">
        <v>20</v>
      </c>
      <c r="E11" s="2" t="s">
        <v>14</v>
      </c>
      <c r="F11" s="2" t="s">
        <v>41</v>
      </c>
      <c r="G11" s="2">
        <v>14.0</v>
      </c>
      <c r="H11" s="2">
        <v>8.0</v>
      </c>
      <c r="I11" s="2" t="s">
        <v>27</v>
      </c>
      <c r="J11" s="2" t="s">
        <v>17</v>
      </c>
    </row>
    <row r="12">
      <c r="A12" s="2" t="s">
        <v>42</v>
      </c>
      <c r="B12" s="2" t="s">
        <v>43</v>
      </c>
      <c r="C12" s="2" t="s">
        <v>12</v>
      </c>
      <c r="D12" s="2" t="s">
        <v>13</v>
      </c>
      <c r="E12" s="2" t="s">
        <v>21</v>
      </c>
      <c r="F12" s="2" t="s">
        <v>15</v>
      </c>
      <c r="G12" s="2">
        <v>3.0</v>
      </c>
      <c r="H12" s="2">
        <v>8.0</v>
      </c>
      <c r="I12" s="2" t="s">
        <v>16</v>
      </c>
      <c r="J12" s="2" t="s">
        <v>22</v>
      </c>
    </row>
    <row r="13">
      <c r="A13" s="2" t="s">
        <v>44</v>
      </c>
      <c r="B13" s="2" t="s">
        <v>43</v>
      </c>
      <c r="C13" s="2" t="s">
        <v>19</v>
      </c>
      <c r="D13" s="2" t="s">
        <v>20</v>
      </c>
      <c r="E13" s="2" t="s">
        <v>29</v>
      </c>
      <c r="F13" s="2" t="s">
        <v>15</v>
      </c>
      <c r="G13" s="2">
        <v>4.0</v>
      </c>
      <c r="H13" s="2">
        <v>8.0</v>
      </c>
      <c r="I13" s="2" t="s">
        <v>16</v>
      </c>
      <c r="J13" s="2" t="s">
        <v>30</v>
      </c>
    </row>
    <row r="14">
      <c r="A14" s="2" t="s">
        <v>45</v>
      </c>
      <c r="B14" s="2" t="s">
        <v>46</v>
      </c>
      <c r="C14" s="2" t="s">
        <v>33</v>
      </c>
      <c r="D14" s="2" t="s">
        <v>13</v>
      </c>
      <c r="E14" s="2" t="s">
        <v>14</v>
      </c>
      <c r="F14" s="2" t="s">
        <v>26</v>
      </c>
      <c r="G14" s="2">
        <v>7.0</v>
      </c>
      <c r="H14" s="2">
        <v>6.0</v>
      </c>
      <c r="I14" s="2" t="s">
        <v>27</v>
      </c>
      <c r="J14" s="2" t="s">
        <v>17</v>
      </c>
    </row>
    <row r="15">
      <c r="A15" s="2" t="s">
        <v>47</v>
      </c>
      <c r="B15" s="2" t="s">
        <v>46</v>
      </c>
      <c r="C15" s="2" t="s">
        <v>25</v>
      </c>
      <c r="D15" s="2" t="s">
        <v>20</v>
      </c>
      <c r="E15" s="2" t="s">
        <v>21</v>
      </c>
      <c r="F15" s="2" t="s">
        <v>15</v>
      </c>
      <c r="G15" s="2">
        <v>5.0</v>
      </c>
      <c r="H15" s="2">
        <v>8.0</v>
      </c>
      <c r="I15" s="2" t="s">
        <v>16</v>
      </c>
      <c r="J15" s="2" t="s">
        <v>22</v>
      </c>
    </row>
    <row r="16">
      <c r="A16" s="2" t="s">
        <v>48</v>
      </c>
      <c r="B16" s="2" t="s">
        <v>49</v>
      </c>
      <c r="C16" s="2" t="s">
        <v>12</v>
      </c>
      <c r="D16" s="2" t="s">
        <v>13</v>
      </c>
      <c r="E16" s="2" t="s">
        <v>14</v>
      </c>
      <c r="F16" s="2" t="s">
        <v>15</v>
      </c>
      <c r="G16" s="2">
        <v>4.0</v>
      </c>
      <c r="H16" s="2">
        <v>6.0</v>
      </c>
      <c r="I16" s="2" t="s">
        <v>16</v>
      </c>
      <c r="J16" s="2" t="s">
        <v>30</v>
      </c>
    </row>
    <row r="17">
      <c r="A17" s="2" t="s">
        <v>50</v>
      </c>
      <c r="B17" s="2" t="s">
        <v>49</v>
      </c>
      <c r="C17" s="2" t="s">
        <v>19</v>
      </c>
      <c r="D17" s="2" t="s">
        <v>20</v>
      </c>
      <c r="E17" s="2" t="s">
        <v>21</v>
      </c>
      <c r="F17" s="2" t="s">
        <v>15</v>
      </c>
      <c r="G17" s="2">
        <v>7.0</v>
      </c>
      <c r="H17" s="2">
        <v>8.0</v>
      </c>
      <c r="I17" s="2" t="s">
        <v>16</v>
      </c>
      <c r="J17" s="2" t="s">
        <v>17</v>
      </c>
    </row>
    <row r="18">
      <c r="A18" s="2" t="s">
        <v>51</v>
      </c>
      <c r="B18" s="2" t="s">
        <v>52</v>
      </c>
      <c r="C18" s="2" t="s">
        <v>25</v>
      </c>
      <c r="D18" s="2" t="s">
        <v>13</v>
      </c>
      <c r="E18" s="2" t="s">
        <v>14</v>
      </c>
      <c r="F18" s="2" t="s">
        <v>15</v>
      </c>
      <c r="G18" s="2">
        <v>5.0</v>
      </c>
      <c r="H18" s="2">
        <v>6.0</v>
      </c>
      <c r="I18" s="2" t="s">
        <v>16</v>
      </c>
      <c r="J18" s="2" t="s">
        <v>22</v>
      </c>
    </row>
    <row r="19">
      <c r="A19" s="2" t="s">
        <v>53</v>
      </c>
      <c r="B19" s="2" t="s">
        <v>52</v>
      </c>
      <c r="C19" s="2" t="s">
        <v>33</v>
      </c>
      <c r="D19" s="2" t="s">
        <v>20</v>
      </c>
      <c r="E19" s="2" t="s">
        <v>29</v>
      </c>
      <c r="F19" s="2" t="s">
        <v>15</v>
      </c>
      <c r="G19" s="2">
        <v>4.0</v>
      </c>
      <c r="H19" s="2">
        <v>8.0</v>
      </c>
      <c r="I19" s="2" t="s">
        <v>16</v>
      </c>
      <c r="J19" s="2" t="s">
        <v>30</v>
      </c>
    </row>
    <row r="20">
      <c r="A20" s="2" t="s">
        <v>54</v>
      </c>
      <c r="B20" s="2" t="s">
        <v>55</v>
      </c>
      <c r="C20" s="2" t="s">
        <v>12</v>
      </c>
      <c r="D20" s="2" t="s">
        <v>13</v>
      </c>
      <c r="E20" s="2" t="s">
        <v>21</v>
      </c>
      <c r="F20" s="2" t="s">
        <v>26</v>
      </c>
      <c r="G20" s="2">
        <v>9.0</v>
      </c>
      <c r="H20" s="2">
        <v>8.0</v>
      </c>
      <c r="I20" s="2" t="s">
        <v>27</v>
      </c>
      <c r="J20" s="2" t="s">
        <v>17</v>
      </c>
    </row>
    <row r="21" ht="15.75" customHeight="1">
      <c r="A21" s="2" t="s">
        <v>56</v>
      </c>
      <c r="B21" s="2" t="s">
        <v>55</v>
      </c>
      <c r="C21" s="2" t="s">
        <v>25</v>
      </c>
      <c r="D21" s="2" t="s">
        <v>20</v>
      </c>
      <c r="E21" s="2" t="s">
        <v>14</v>
      </c>
      <c r="F21" s="2" t="s">
        <v>15</v>
      </c>
      <c r="G21" s="2">
        <v>6.0</v>
      </c>
      <c r="H21" s="2">
        <v>8.0</v>
      </c>
      <c r="I21" s="2" t="s">
        <v>16</v>
      </c>
      <c r="J21" s="2" t="s">
        <v>22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G2:G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12" width="8.71"/>
  </cols>
  <sheetData>
    <row r="1">
      <c r="A1" s="3" t="s">
        <v>57</v>
      </c>
      <c r="B1" s="4"/>
    </row>
    <row r="2">
      <c r="A2" s="4" t="s">
        <v>58</v>
      </c>
      <c r="B2" s="4" t="s">
        <v>59</v>
      </c>
    </row>
    <row r="3">
      <c r="A3" s="5" t="s">
        <v>60</v>
      </c>
      <c r="B3" s="5" t="s">
        <v>61</v>
      </c>
    </row>
    <row r="4">
      <c r="A4" s="4" t="s">
        <v>62</v>
      </c>
      <c r="B4" s="4" t="str">
        <f>COUNTA('Case Data'!A2:A21)</f>
        <v>20</v>
      </c>
    </row>
    <row r="5">
      <c r="A5" s="4" t="s">
        <v>63</v>
      </c>
      <c r="B5" s="4" t="str">
        <f>COUNTIF('Case Data'!F2:F21,"Resolved")</f>
        <v>15</v>
      </c>
    </row>
    <row r="6">
      <c r="A6" s="4" t="s">
        <v>64</v>
      </c>
      <c r="B6" s="4" t="str">
        <f>COUNTIF('Case Data'!F2:F21,"Pending")</f>
        <v>4</v>
      </c>
    </row>
    <row r="7">
      <c r="A7" s="4" t="s">
        <v>65</v>
      </c>
      <c r="B7" s="4" t="str">
        <f>COUNTIF('Case Data'!F2:F21,"Escalated")</f>
        <v>1</v>
      </c>
    </row>
    <row r="8">
      <c r="A8" s="4" t="s">
        <v>8</v>
      </c>
      <c r="B8" s="4" t="str">
        <f>COUNTIF('Case Data'!I2:I21,"Yes")</f>
        <v>15</v>
      </c>
    </row>
    <row r="9">
      <c r="A9" s="4" t="s">
        <v>66</v>
      </c>
      <c r="B9" s="4" t="str">
        <f>COUNTIF('Case Data'!I2:I21,"No")</f>
        <v>5</v>
      </c>
    </row>
    <row r="10">
      <c r="A10" s="4" t="s">
        <v>67</v>
      </c>
      <c r="B10" s="6" t="str">
        <f>B8/B4</f>
        <v>75.0%</v>
      </c>
    </row>
    <row r="11">
      <c r="A11" s="4" t="s">
        <v>68</v>
      </c>
      <c r="B11" s="4" t="str">
        <f>AVERAGE('Case Data'!G2:G21)</f>
        <v>5.85</v>
      </c>
    </row>
    <row r="12">
      <c r="A12" s="4"/>
      <c r="B12" s="4"/>
    </row>
    <row r="13">
      <c r="A13" s="4"/>
      <c r="B13" s="4"/>
    </row>
    <row r="14">
      <c r="A14" s="5" t="s">
        <v>2</v>
      </c>
      <c r="B14" s="5" t="s">
        <v>69</v>
      </c>
    </row>
    <row r="15">
      <c r="A15" s="4" t="s">
        <v>12</v>
      </c>
      <c r="B15" s="4" t="str">
        <f>COUNTIF('Case Data'!C2:C21,A15)</f>
        <v>6</v>
      </c>
    </row>
    <row r="16">
      <c r="A16" s="4" t="s">
        <v>19</v>
      </c>
      <c r="B16" s="4" t="str">
        <f>COUNTIF('Case Data'!C2:C21,A16)</f>
        <v>4</v>
      </c>
    </row>
    <row r="17">
      <c r="A17" s="4" t="s">
        <v>25</v>
      </c>
      <c r="B17" s="4" t="str">
        <f>COUNTIF('Case Data'!C2:C21,A17)</f>
        <v>6</v>
      </c>
    </row>
    <row r="18">
      <c r="A18" s="4" t="s">
        <v>33</v>
      </c>
      <c r="B18" s="4" t="str">
        <f>COUNTIF('Case Data'!C2:C21,A18)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2026-08-08T17:33:47Z</dcterms:created>
  <dc:creator>openpyxl</dc:creator>
  <dcterms:modified xsi:type="dcterms:W3CDTF">2026-08-08T17:33:47Z</dcterms:modified>
</cp:coreProperties>
</file>